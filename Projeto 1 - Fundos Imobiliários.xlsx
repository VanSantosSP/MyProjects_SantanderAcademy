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391eb7f1376a87/Documentos/Van/Cursos Online/"/>
    </mc:Choice>
  </mc:AlternateContent>
  <xr:revisionPtr revIDLastSave="308" documentId="14_{7DDDFB53-1C45-4FB8-8A44-49037FDD3473}" xr6:coauthVersionLast="47" xr6:coauthVersionMax="47" xr10:uidLastSave="{10050ACE-E472-489D-A2E0-73313678A313}"/>
  <bookViews>
    <workbookView xWindow="-108" yWindow="-108" windowWidth="23256" windowHeight="12576" xr2:uid="{590FF85E-4222-48CC-9768-17D91274B439}"/>
  </bookViews>
  <sheets>
    <sheet name="Aplicativo" sheetId="1" r:id="rId1"/>
    <sheet name="Apoio" sheetId="2" r:id="rId2"/>
  </sheets>
  <definedNames>
    <definedName name="Quantidade_de_Anos">Aplicativo!$D$17</definedName>
    <definedName name="Rendimento_do_Portfólio">Aplicativo!$D$11</definedName>
    <definedName name="Taxa_de_Rendimento_Mensal">Aplicativo!$D$18</definedName>
    <definedName name="Taxa_mês">Aplicativo!$D$18</definedName>
    <definedName name="tx_mês">Aplicativo!$D$18</definedName>
    <definedName name="Valor_Acumulado">Aplicativo!$D$19</definedName>
    <definedName name="Valor_Investido">Aplicativo!$D$16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23" i="1"/>
  <c r="D23" i="1" s="1"/>
  <c r="D19" i="1"/>
  <c r="D20" i="1" s="1"/>
  <c r="G4" i="2" l="1"/>
  <c r="G5" i="2"/>
  <c r="G3" i="2"/>
  <c r="I3" i="2"/>
  <c r="I16" i="2"/>
  <c r="I17" i="2"/>
  <c r="I18" i="2"/>
  <c r="I19" i="2"/>
  <c r="I20" i="2"/>
  <c r="I15" i="2"/>
  <c r="I10" i="2"/>
  <c r="I11" i="2"/>
  <c r="I12" i="2"/>
  <c r="I13" i="2"/>
  <c r="I14" i="2"/>
  <c r="I9" i="2"/>
  <c r="I8" i="2"/>
  <c r="I4" i="2"/>
  <c r="I5" i="2"/>
  <c r="I6" i="2"/>
  <c r="I7" i="2"/>
  <c r="D13" i="1"/>
  <c r="C39" i="1" l="1"/>
  <c r="D39" i="1" s="1"/>
  <c r="C37" i="1"/>
  <c r="D37" i="1" s="1"/>
  <c r="C41" i="1"/>
  <c r="D41" i="1" s="1"/>
  <c r="C38" i="1"/>
  <c r="D38" i="1" s="1"/>
  <c r="C42" i="1"/>
  <c r="D42" i="1" s="1"/>
  <c r="C40" i="1"/>
  <c r="D40" i="1" s="1"/>
</calcChain>
</file>

<file path=xl/sharedStrings.xml><?xml version="1.0" encoding="utf-8"?>
<sst xmlns="http://schemas.openxmlformats.org/spreadsheetml/2006/main" count="87" uniqueCount="41">
  <si>
    <t>Parâmetros</t>
  </si>
  <si>
    <t>Salário</t>
  </si>
  <si>
    <t>Rendimento do Portfólio</t>
  </si>
  <si>
    <t>Saldo Investido</t>
  </si>
  <si>
    <t>Investimento Mensal</t>
  </si>
  <si>
    <t>Quantidade de Anos</t>
  </si>
  <si>
    <t>Taxa de Rendimento Mensal</t>
  </si>
  <si>
    <t>Valor Acumulado</t>
  </si>
  <si>
    <t>Dividendos Mensais</t>
  </si>
  <si>
    <t>Cenários</t>
  </si>
  <si>
    <t>2 anos</t>
  </si>
  <si>
    <t>5 anos</t>
  </si>
  <si>
    <t>10 anos</t>
  </si>
  <si>
    <t>15 anos</t>
  </si>
  <si>
    <t>20 anos</t>
  </si>
  <si>
    <t>25 anos</t>
  </si>
  <si>
    <t>30 anos</t>
  </si>
  <si>
    <t>Percentuais de Alocação Salário</t>
  </si>
  <si>
    <t>Tipos de FIIs</t>
  </si>
  <si>
    <t>Tijolo</t>
  </si>
  <si>
    <t>Papel</t>
  </si>
  <si>
    <t>Híbridos</t>
  </si>
  <si>
    <t>Desenvolvimento</t>
  </si>
  <si>
    <t>Fundos de Fundos (FoF)</t>
  </si>
  <si>
    <t>Fiagros</t>
  </si>
  <si>
    <t>Perfis</t>
  </si>
  <si>
    <t>Conservador</t>
  </si>
  <si>
    <t>Moderado</t>
  </si>
  <si>
    <t>Agressivo</t>
  </si>
  <si>
    <t>Chave (ID)</t>
  </si>
  <si>
    <t>Perfil</t>
  </si>
  <si>
    <t>Tipo de FII</t>
  </si>
  <si>
    <t>%</t>
  </si>
  <si>
    <t>Check dos %</t>
  </si>
  <si>
    <t>% do Salário para Investir</t>
  </si>
  <si>
    <t>Valor Investido</t>
  </si>
  <si>
    <t>Dividendos</t>
  </si>
  <si>
    <t>Montante</t>
  </si>
  <si>
    <t>% Sugerido</t>
  </si>
  <si>
    <t>Valores</t>
  </si>
  <si>
    <t>Simulação Por Perfil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</si>
</sst>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entury Gothic"/>
      <family val="2"/>
    </font>
    <font>
      <sz val="11"/>
      <color rgb="FFFFABAB"/>
      <name val="Century Gothic"/>
      <family val="2"/>
    </font>
    <font>
      <b/>
      <sz val="11"/>
      <color rgb="FFFFABAB"/>
      <name val="Century Gothic"/>
      <family val="2"/>
    </font>
    <font>
      <b/>
      <sz val="11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FFABAB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/>
      <top/>
      <bottom style="mediumDashDotDot">
        <color theme="2" tint="-0.49998474074526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9" fontId="0" fillId="0" borderId="0" xfId="2" applyFont="1"/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9" fontId="2" fillId="0" borderId="1" xfId="2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8" fontId="2" fillId="3" borderId="2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2" fillId="3" borderId="2" xfId="1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9" fontId="2" fillId="3" borderId="1" xfId="2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3" borderId="1" xfId="0" applyFont="1" applyFill="1" applyBorder="1" applyAlignment="1">
      <alignment horizontal="left" vertical="center" indent="2"/>
    </xf>
    <xf numFmtId="0" fontId="2" fillId="0" borderId="2" xfId="0" applyFont="1" applyBorder="1" applyAlignment="1">
      <alignment horizontal="left" vertical="center" indent="2"/>
    </xf>
    <xf numFmtId="0" fontId="2" fillId="3" borderId="2" xfId="0" applyFont="1" applyFill="1" applyBorder="1" applyAlignment="1">
      <alignment horizontal="left" vertical="center" indent="2"/>
    </xf>
    <xf numFmtId="0" fontId="2" fillId="3" borderId="2" xfId="0" applyFont="1" applyFill="1" applyBorder="1" applyAlignment="1">
      <alignment horizontal="left" vertical="center" indent="2"/>
    </xf>
    <xf numFmtId="0" fontId="2" fillId="3" borderId="5" xfId="0" applyFont="1" applyFill="1" applyBorder="1" applyAlignment="1">
      <alignment horizontal="left" vertical="center" indent="2"/>
    </xf>
    <xf numFmtId="0" fontId="2" fillId="3" borderId="6" xfId="0" applyFont="1" applyFill="1" applyBorder="1" applyAlignment="1">
      <alignment horizontal="left" vertical="center" indent="2"/>
    </xf>
    <xf numFmtId="0" fontId="2" fillId="3" borderId="7" xfId="0" applyFont="1" applyFill="1" applyBorder="1" applyAlignment="1">
      <alignment horizontal="left" vertical="center" indent="2"/>
    </xf>
    <xf numFmtId="0" fontId="2" fillId="3" borderId="8" xfId="0" applyFont="1" applyFill="1" applyBorder="1" applyAlignment="1">
      <alignment horizontal="left" vertical="center" indent="2"/>
    </xf>
    <xf numFmtId="0" fontId="2" fillId="3" borderId="1" xfId="0" applyFont="1" applyFill="1" applyBorder="1" applyAlignment="1">
      <alignment horizontal="left" vertical="center" indent="2"/>
    </xf>
  </cellXfs>
  <cellStyles count="3">
    <cellStyle name="Moeda" xfId="1" builtinId="4"/>
    <cellStyle name="Normal" xfId="0" builtinId="0"/>
    <cellStyle name="Porcentagem" xfId="2" builtinId="5"/>
  </cellStyles>
  <dxfs count="2">
    <dxf>
      <fill>
        <patternFill>
          <bgColor rgb="FFFFABAB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colors>
    <mruColors>
      <color rgb="FFFFE7E7"/>
      <color rgb="FFFFABAB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5916774669909073E-2"/>
          <c:y val="0.11213217573755913"/>
          <c:w val="0.56797902035599468"/>
          <c:h val="0.85845621281374085"/>
        </c:manualLayout>
      </c:layout>
      <c:pie3DChart>
        <c:varyColors val="1"/>
        <c:ser>
          <c:idx val="0"/>
          <c:order val="0"/>
          <c:tx>
            <c:strRef>
              <c:f>Aplicativo!$C$36</c:f>
              <c:strCache>
                <c:ptCount val="1"/>
                <c:pt idx="0">
                  <c:v>%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Aplicativo!$B$37:$B$42</c:f>
              <c:strCache>
                <c:ptCount val="6"/>
                <c:pt idx="0">
                  <c:v>Tijolo</c:v>
                </c:pt>
                <c:pt idx="1">
                  <c:v>Papel</c:v>
                </c:pt>
                <c:pt idx="2">
                  <c:v>Fundos de Fundos (FoF)</c:v>
                </c:pt>
                <c:pt idx="3">
                  <c:v>Híbridos</c:v>
                </c:pt>
                <c:pt idx="4">
                  <c:v>Fiagros</c:v>
                </c:pt>
                <c:pt idx="5">
                  <c:v>Desenvolvimento</c:v>
                </c:pt>
              </c:strCache>
            </c:strRef>
          </c:cat>
          <c:val>
            <c:numRef>
              <c:f>Aplicativo!$C$37:$C$42</c:f>
              <c:numCache>
                <c:formatCode>0%</c:formatCode>
                <c:ptCount val="6"/>
                <c:pt idx="0">
                  <c:v>0.5</c:v>
                </c:pt>
                <c:pt idx="1">
                  <c:v>0.3</c:v>
                </c:pt>
                <c:pt idx="2">
                  <c:v>0</c:v>
                </c:pt>
                <c:pt idx="3">
                  <c:v>0.1</c:v>
                </c:pt>
                <c:pt idx="4">
                  <c:v>0.05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1-4D81-A094-70CA8A9B1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7E7"/>
    </a:solidFill>
    <a:ln>
      <a:noFill/>
    </a:ln>
    <a:effectLst/>
  </c:spPr>
  <c:txPr>
    <a:bodyPr/>
    <a:lstStyle/>
    <a:p>
      <a:pPr>
        <a:defRPr>
          <a:solidFill>
            <a:srgbClr val="FFE7E7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11007</xdr:colOff>
      <xdr:row>42</xdr:row>
      <xdr:rowOff>149014</xdr:rowOff>
    </xdr:from>
    <xdr:to>
      <xdr:col>4</xdr:col>
      <xdr:colOff>0</xdr:colOff>
      <xdr:row>53</xdr:row>
      <xdr:rowOff>140548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96FF65C-D6F1-B8E4-761B-C0CBE26D1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129642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7DA16468-A12C-52D9-6458-D647E6231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173980" cy="11812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283F-EC71-451F-89FD-9ED8911666B3}">
  <dimension ref="A1:E57"/>
  <sheetViews>
    <sheetView showGridLines="0" tabSelected="1" zoomScaleNormal="100" workbookViewId="0">
      <selection activeCell="D34" sqref="D34"/>
    </sheetView>
  </sheetViews>
  <sheetFormatPr defaultColWidth="0" defaultRowHeight="13.8" zeroHeight="1" x14ac:dyDescent="0.3"/>
  <cols>
    <col min="1" max="1" width="3.21875" style="3" customWidth="1"/>
    <col min="2" max="2" width="35.6640625" style="3" bestFit="1" customWidth="1"/>
    <col min="3" max="3" width="16.77734375" style="3" bestFit="1" customWidth="1"/>
    <col min="4" max="4" width="16.5546875" style="3" customWidth="1"/>
    <col min="5" max="5" width="3.21875" style="3" customWidth="1"/>
    <col min="6" max="16384" width="8.88671875" style="3" hidden="1"/>
  </cols>
  <sheetData>
    <row r="1" spans="1:5" x14ac:dyDescent="0.3">
      <c r="A1" s="2"/>
      <c r="B1" s="2"/>
      <c r="C1" s="2"/>
      <c r="D1" s="2"/>
      <c r="E1" s="2"/>
    </row>
    <row r="2" spans="1:5" x14ac:dyDescent="0.3">
      <c r="A2" s="2"/>
      <c r="B2" s="2"/>
      <c r="C2" s="2"/>
      <c r="D2" s="2"/>
      <c r="E2" s="2"/>
    </row>
    <row r="3" spans="1:5" x14ac:dyDescent="0.3">
      <c r="A3" s="2"/>
      <c r="B3" s="2"/>
      <c r="C3" s="2"/>
      <c r="D3" s="2"/>
      <c r="E3" s="2"/>
    </row>
    <row r="4" spans="1:5" x14ac:dyDescent="0.3">
      <c r="A4" s="2"/>
      <c r="B4" s="2"/>
      <c r="C4" s="2"/>
      <c r="D4" s="2"/>
      <c r="E4" s="2"/>
    </row>
    <row r="5" spans="1:5" x14ac:dyDescent="0.3">
      <c r="A5" s="2"/>
      <c r="B5" s="2"/>
      <c r="C5" s="2"/>
      <c r="D5" s="2"/>
      <c r="E5" s="2"/>
    </row>
    <row r="6" spans="1:5" x14ac:dyDescent="0.3">
      <c r="A6" s="2"/>
      <c r="B6" s="2"/>
      <c r="C6" s="2"/>
      <c r="D6" s="2"/>
      <c r="E6" s="2"/>
    </row>
    <row r="7" spans="1:5" x14ac:dyDescent="0.3">
      <c r="A7" s="2"/>
      <c r="B7" s="2"/>
      <c r="C7" s="2"/>
      <c r="D7" s="2"/>
      <c r="E7" s="2"/>
    </row>
    <row r="8" spans="1:5" x14ac:dyDescent="0.3">
      <c r="A8" s="2"/>
      <c r="B8" s="2"/>
      <c r="C8" s="2"/>
      <c r="D8" s="2"/>
      <c r="E8" s="2"/>
    </row>
    <row r="9" spans="1:5" x14ac:dyDescent="0.3">
      <c r="A9" s="2"/>
      <c r="B9" s="4" t="s">
        <v>0</v>
      </c>
      <c r="C9" s="4"/>
      <c r="D9" s="4"/>
      <c r="E9" s="2"/>
    </row>
    <row r="10" spans="1:5" x14ac:dyDescent="0.3">
      <c r="A10" s="2"/>
      <c r="B10" s="26" t="s">
        <v>1</v>
      </c>
      <c r="C10" s="26"/>
      <c r="D10" s="5">
        <v>5000</v>
      </c>
      <c r="E10" s="2"/>
    </row>
    <row r="11" spans="1:5" x14ac:dyDescent="0.3">
      <c r="A11" s="2"/>
      <c r="B11" s="26" t="s">
        <v>2</v>
      </c>
      <c r="C11" s="26"/>
      <c r="D11" s="6">
        <v>6.0000000000000001E-3</v>
      </c>
      <c r="E11" s="2"/>
    </row>
    <row r="12" spans="1:5" x14ac:dyDescent="0.3">
      <c r="A12" s="2"/>
      <c r="B12" s="26" t="s">
        <v>34</v>
      </c>
      <c r="C12" s="26"/>
      <c r="D12" s="7">
        <v>0.2</v>
      </c>
      <c r="E12" s="2"/>
    </row>
    <row r="13" spans="1:5" x14ac:dyDescent="0.3">
      <c r="A13" s="2"/>
      <c r="B13" s="26" t="s">
        <v>3</v>
      </c>
      <c r="C13" s="26"/>
      <c r="D13" s="8">
        <f>D10*D12</f>
        <v>1000</v>
      </c>
      <c r="E13" s="2"/>
    </row>
    <row r="14" spans="1:5" x14ac:dyDescent="0.3">
      <c r="A14" s="2"/>
      <c r="B14" s="2"/>
      <c r="C14" s="2"/>
      <c r="D14" s="2"/>
      <c r="E14" s="2"/>
    </row>
    <row r="15" spans="1:5" x14ac:dyDescent="0.3">
      <c r="A15" s="2"/>
      <c r="B15" s="9" t="s">
        <v>4</v>
      </c>
      <c r="C15" s="9"/>
      <c r="D15" s="9"/>
      <c r="E15" s="2"/>
    </row>
    <row r="16" spans="1:5" x14ac:dyDescent="0.3">
      <c r="A16" s="2"/>
      <c r="B16" s="27" t="s">
        <v>35</v>
      </c>
      <c r="C16" s="27"/>
      <c r="D16" s="10">
        <v>2000</v>
      </c>
      <c r="E16" s="2"/>
    </row>
    <row r="17" spans="1:5" x14ac:dyDescent="0.3">
      <c r="A17" s="2"/>
      <c r="B17" s="27" t="s">
        <v>5</v>
      </c>
      <c r="C17" s="27"/>
      <c r="D17" s="11">
        <v>10</v>
      </c>
      <c r="E17" s="2"/>
    </row>
    <row r="18" spans="1:5" x14ac:dyDescent="0.3">
      <c r="A18" s="2"/>
      <c r="B18" s="27" t="s">
        <v>6</v>
      </c>
      <c r="C18" s="27"/>
      <c r="D18" s="12">
        <v>1.0789999999999999E-2</v>
      </c>
      <c r="E18" s="2"/>
    </row>
    <row r="19" spans="1:5" x14ac:dyDescent="0.3">
      <c r="A19" s="2"/>
      <c r="B19" s="28" t="s">
        <v>7</v>
      </c>
      <c r="C19" s="28"/>
      <c r="D19" s="13">
        <f>FV(Taxa_de_Rendimento_Mensal,Quantidade_de_Anos*12,Valor_Investido*-1)</f>
        <v>486568.42506034439</v>
      </c>
      <c r="E19" s="2"/>
    </row>
    <row r="20" spans="1:5" x14ac:dyDescent="0.3">
      <c r="A20" s="2"/>
      <c r="B20" s="28" t="s">
        <v>8</v>
      </c>
      <c r="C20" s="28"/>
      <c r="D20" s="14">
        <f>Valor_Acumulado*Rendimento_do_Portfólio</f>
        <v>2919.4105503620663</v>
      </c>
      <c r="E20" s="2"/>
    </row>
    <row r="21" spans="1:5" x14ac:dyDescent="0.3">
      <c r="A21" s="2"/>
      <c r="B21" s="2"/>
      <c r="C21" s="2"/>
      <c r="D21" s="2"/>
      <c r="E21" s="2"/>
    </row>
    <row r="22" spans="1:5" x14ac:dyDescent="0.3">
      <c r="A22" s="15"/>
      <c r="B22" s="16" t="s">
        <v>9</v>
      </c>
      <c r="C22" s="16" t="s">
        <v>37</v>
      </c>
      <c r="D22" s="17" t="s">
        <v>36</v>
      </c>
      <c r="E22" s="15"/>
    </row>
    <row r="23" spans="1:5" x14ac:dyDescent="0.3">
      <c r="A23" s="15">
        <v>2</v>
      </c>
      <c r="B23" s="29" t="s">
        <v>10</v>
      </c>
      <c r="C23" s="14">
        <f>FV(Taxa_de_Rendimento_Mensal,A23*12,Valor_Investido*-1)</f>
        <v>54455.254595290433</v>
      </c>
      <c r="D23" s="14">
        <f>C23*Rendimento_do_Portfólio</f>
        <v>326.73152757174262</v>
      </c>
      <c r="E23" s="15"/>
    </row>
    <row r="24" spans="1:5" x14ac:dyDescent="0.3">
      <c r="A24" s="15">
        <v>5</v>
      </c>
      <c r="B24" s="29" t="s">
        <v>11</v>
      </c>
      <c r="C24" s="14">
        <f>FV(Taxa_de_Rendimento_Mensal,A24*12,Valor_Investido*-1)</f>
        <v>167553.82799697528</v>
      </c>
      <c r="D24" s="14">
        <f>C24*Rendimento_do_Portfólio</f>
        <v>1005.3229679818517</v>
      </c>
      <c r="E24" s="15"/>
    </row>
    <row r="25" spans="1:5" x14ac:dyDescent="0.3">
      <c r="A25" s="15">
        <v>10</v>
      </c>
      <c r="B25" s="29" t="s">
        <v>12</v>
      </c>
      <c r="C25" s="14">
        <f>FV(Taxa_de_Rendimento_Mensal,A25*12,Valor_Investido*-1)</f>
        <v>486568.42506034439</v>
      </c>
      <c r="D25" s="18">
        <f>C25*Rendimento_do_Portfólio</f>
        <v>2919.4105503620663</v>
      </c>
      <c r="E25" s="15"/>
    </row>
    <row r="26" spans="1:5" x14ac:dyDescent="0.3">
      <c r="A26" s="15">
        <v>15</v>
      </c>
      <c r="B26" s="29" t="s">
        <v>13</v>
      </c>
      <c r="C26" s="14">
        <f>FV(Taxa_de_Rendimento_Mensal,A26*12,Valor_Investido*-1)</f>
        <v>1093957.1929334418</v>
      </c>
      <c r="D26" s="14">
        <f>C26*Rendimento_do_Portfólio</f>
        <v>6563.7431576006511</v>
      </c>
      <c r="E26" s="15"/>
    </row>
    <row r="27" spans="1:5" x14ac:dyDescent="0.3">
      <c r="A27" s="15">
        <v>20</v>
      </c>
      <c r="B27" s="29" t="s">
        <v>14</v>
      </c>
      <c r="C27" s="14">
        <f>FV(Taxa_de_Rendimento_Mensal,A27*12,Valor_Investido*-1)</f>
        <v>2250396.800194161</v>
      </c>
      <c r="D27" s="14">
        <f>C27*Rendimento_do_Portfólio</f>
        <v>13502.380801164967</v>
      </c>
      <c r="E27" s="15"/>
    </row>
    <row r="28" spans="1:5" x14ac:dyDescent="0.3">
      <c r="A28" s="15">
        <v>25</v>
      </c>
      <c r="B28" s="29" t="s">
        <v>15</v>
      </c>
      <c r="C28" s="14">
        <f>FV(Taxa_de_Rendimento_Mensal,A28*12,Valor_Investido*-1)</f>
        <v>4452203.3464764645</v>
      </c>
      <c r="D28" s="18">
        <f>C28*Rendimento_do_Portfólio</f>
        <v>26713.220078858787</v>
      </c>
      <c r="E28" s="15"/>
    </row>
    <row r="29" spans="1:5" x14ac:dyDescent="0.3">
      <c r="A29" s="15">
        <v>30</v>
      </c>
      <c r="B29" s="29" t="s">
        <v>16</v>
      </c>
      <c r="C29" s="14">
        <f>FV(Taxa_de_Rendimento_Mensal,A29*12,Valor_Investido*-1)</f>
        <v>8644339.3100094292</v>
      </c>
      <c r="D29" s="14">
        <f>C29*Rendimento_do_Portfólio</f>
        <v>51866.035860056574</v>
      </c>
      <c r="E29" s="15"/>
    </row>
    <row r="30" spans="1:5" s="25" customFormat="1" ht="14.4" thickBot="1" x14ac:dyDescent="0.35">
      <c r="A30" s="23"/>
      <c r="B30" s="24"/>
      <c r="C30" s="24"/>
      <c r="D30" s="24"/>
      <c r="E30" s="23"/>
    </row>
    <row r="31" spans="1:5" x14ac:dyDescent="0.3">
      <c r="A31" s="15"/>
      <c r="B31" s="2"/>
      <c r="C31" s="2"/>
      <c r="D31" s="2"/>
      <c r="E31" s="15"/>
    </row>
    <row r="32" spans="1:5" x14ac:dyDescent="0.3">
      <c r="A32" s="15"/>
      <c r="B32" s="19" t="s">
        <v>40</v>
      </c>
      <c r="C32" s="19"/>
      <c r="D32" s="19"/>
      <c r="E32" s="15"/>
    </row>
    <row r="33" spans="1:5" x14ac:dyDescent="0.3">
      <c r="A33" s="2"/>
      <c r="B33" s="30" t="s">
        <v>30</v>
      </c>
      <c r="C33" s="31"/>
      <c r="D33" s="20" t="s">
        <v>26</v>
      </c>
      <c r="E33" s="2"/>
    </row>
    <row r="34" spans="1:5" x14ac:dyDescent="0.3">
      <c r="A34" s="2"/>
      <c r="B34" s="32" t="s">
        <v>35</v>
      </c>
      <c r="C34" s="33"/>
      <c r="D34" s="14">
        <f>Valor_Investido</f>
        <v>2000</v>
      </c>
      <c r="E34" s="2"/>
    </row>
    <row r="35" spans="1:5" x14ac:dyDescent="0.3">
      <c r="A35" s="2"/>
      <c r="B35" s="2"/>
      <c r="C35" s="2"/>
      <c r="D35" s="2"/>
      <c r="E35" s="2"/>
    </row>
    <row r="36" spans="1:5" x14ac:dyDescent="0.3">
      <c r="A36" s="2"/>
      <c r="B36" s="21" t="s">
        <v>18</v>
      </c>
      <c r="C36" s="21" t="s">
        <v>38</v>
      </c>
      <c r="D36" s="21" t="s">
        <v>39</v>
      </c>
      <c r="E36" s="2"/>
    </row>
    <row r="37" spans="1:5" x14ac:dyDescent="0.3">
      <c r="A37" s="2"/>
      <c r="B37" s="34" t="s">
        <v>19</v>
      </c>
      <c r="C37" s="22">
        <f>VLOOKUP($D$33&amp;"-"&amp;B37,Apoio!$I$3:$L$20,4,0)</f>
        <v>0.5</v>
      </c>
      <c r="D37" s="8">
        <f>C37*$D$34</f>
        <v>1000</v>
      </c>
      <c r="E37" s="2"/>
    </row>
    <row r="38" spans="1:5" x14ac:dyDescent="0.3">
      <c r="A38" s="2"/>
      <c r="B38" s="34" t="s">
        <v>20</v>
      </c>
      <c r="C38" s="22">
        <f>VLOOKUP($D$33&amp;"-"&amp;B38,Apoio!$I$3:$L$20,4,0)</f>
        <v>0.3</v>
      </c>
      <c r="D38" s="8">
        <f>C38*$D$34</f>
        <v>600</v>
      </c>
      <c r="E38" s="2"/>
    </row>
    <row r="39" spans="1:5" x14ac:dyDescent="0.3">
      <c r="A39" s="2"/>
      <c r="B39" s="34" t="s">
        <v>23</v>
      </c>
      <c r="C39" s="22">
        <f>VLOOKUP($D$33&amp;"-"&amp;B39,Apoio!$I$3:$L$20,4,0)</f>
        <v>0</v>
      </c>
      <c r="D39" s="8">
        <f>C39*$D$34</f>
        <v>0</v>
      </c>
      <c r="E39" s="2"/>
    </row>
    <row r="40" spans="1:5" x14ac:dyDescent="0.3">
      <c r="A40" s="2"/>
      <c r="B40" s="34" t="s">
        <v>21</v>
      </c>
      <c r="C40" s="22">
        <f>VLOOKUP($D$33&amp;"-"&amp;B40,Apoio!$I$3:$L$20,4,0)</f>
        <v>0.1</v>
      </c>
      <c r="D40" s="8">
        <f>C40*$D$34</f>
        <v>200</v>
      </c>
      <c r="E40" s="2"/>
    </row>
    <row r="41" spans="1:5" x14ac:dyDescent="0.3">
      <c r="A41" s="2"/>
      <c r="B41" s="34" t="s">
        <v>24</v>
      </c>
      <c r="C41" s="22">
        <f>VLOOKUP($D$33&amp;"-"&amp;B41,Apoio!$I$3:$L$20,4,0)</f>
        <v>0.05</v>
      </c>
      <c r="D41" s="8">
        <f>C41*$D$34</f>
        <v>100</v>
      </c>
      <c r="E41" s="2"/>
    </row>
    <row r="42" spans="1:5" x14ac:dyDescent="0.3">
      <c r="A42" s="2"/>
      <c r="B42" s="34" t="s">
        <v>22</v>
      </c>
      <c r="C42" s="22">
        <f>VLOOKUP($D$33&amp;"-"&amp;B42,Apoio!$I$3:$L$20,4,0)</f>
        <v>0.05</v>
      </c>
      <c r="D42" s="8">
        <f>C42*$D$34</f>
        <v>100</v>
      </c>
      <c r="E42" s="2"/>
    </row>
    <row r="43" spans="1:5" x14ac:dyDescent="0.3">
      <c r="A43" s="2"/>
      <c r="B43" s="2"/>
      <c r="C43" s="2"/>
      <c r="D43" s="2"/>
      <c r="E43" s="2"/>
    </row>
    <row r="44" spans="1:5" x14ac:dyDescent="0.3">
      <c r="A44" s="2"/>
      <c r="B44" s="2"/>
      <c r="C44" s="2"/>
      <c r="D44" s="2"/>
      <c r="E44" s="2"/>
    </row>
    <row r="45" spans="1:5" x14ac:dyDescent="0.3">
      <c r="A45" s="2"/>
      <c r="B45" s="2"/>
      <c r="C45" s="2"/>
      <c r="D45" s="2"/>
      <c r="E45" s="2"/>
    </row>
    <row r="46" spans="1:5" x14ac:dyDescent="0.3">
      <c r="A46" s="2"/>
      <c r="B46" s="2"/>
      <c r="C46" s="2"/>
      <c r="D46" s="2"/>
      <c r="E46" s="2"/>
    </row>
    <row r="47" spans="1:5" x14ac:dyDescent="0.3">
      <c r="A47" s="2"/>
      <c r="B47" s="2"/>
      <c r="C47" s="2"/>
      <c r="D47" s="2"/>
      <c r="E47" s="2"/>
    </row>
    <row r="48" spans="1:5" x14ac:dyDescent="0.3">
      <c r="A48" s="2"/>
      <c r="B48" s="2"/>
      <c r="C48" s="2"/>
      <c r="D48" s="2"/>
      <c r="E48" s="2"/>
    </row>
    <row r="49" spans="1:5" x14ac:dyDescent="0.3">
      <c r="A49" s="2"/>
      <c r="B49" s="2"/>
      <c r="C49" s="2"/>
      <c r="D49" s="2"/>
      <c r="E49" s="2"/>
    </row>
    <row r="50" spans="1:5" x14ac:dyDescent="0.3">
      <c r="A50" s="2"/>
      <c r="B50" s="2"/>
      <c r="C50" s="2"/>
      <c r="D50" s="2"/>
      <c r="E50" s="2"/>
    </row>
    <row r="51" spans="1:5" x14ac:dyDescent="0.3">
      <c r="A51" s="2"/>
      <c r="B51" s="2"/>
      <c r="C51" s="2"/>
      <c r="D51" s="2"/>
      <c r="E51" s="2"/>
    </row>
    <row r="52" spans="1:5" x14ac:dyDescent="0.3">
      <c r="A52" s="2"/>
      <c r="B52" s="2"/>
      <c r="C52" s="2"/>
      <c r="D52" s="2"/>
      <c r="E52" s="2"/>
    </row>
    <row r="53" spans="1:5" x14ac:dyDescent="0.3">
      <c r="A53" s="2"/>
      <c r="B53" s="2"/>
      <c r="C53" s="2"/>
      <c r="D53" s="2"/>
      <c r="E53" s="2"/>
    </row>
    <row r="54" spans="1:5" x14ac:dyDescent="0.3">
      <c r="A54" s="2"/>
      <c r="B54" s="2"/>
      <c r="C54" s="2"/>
      <c r="D54" s="2"/>
      <c r="E54" s="2"/>
    </row>
    <row r="55" spans="1:5" x14ac:dyDescent="0.3">
      <c r="A55" s="2"/>
      <c r="B55" s="2"/>
      <c r="C55" s="2"/>
      <c r="D55" s="2"/>
      <c r="E55" s="2"/>
    </row>
    <row r="56" spans="1:5" x14ac:dyDescent="0.3"/>
    <row r="57" spans="1:5" x14ac:dyDescent="0.3"/>
  </sheetData>
  <mergeCells count="14">
    <mergeCell ref="B33:C33"/>
    <mergeCell ref="B34:C34"/>
    <mergeCell ref="B16:C16"/>
    <mergeCell ref="B17:C17"/>
    <mergeCell ref="B18:C18"/>
    <mergeCell ref="B19:C19"/>
    <mergeCell ref="B20:C20"/>
    <mergeCell ref="B32:D32"/>
    <mergeCell ref="B9:D9"/>
    <mergeCell ref="B15:D15"/>
    <mergeCell ref="B10:C10"/>
    <mergeCell ref="B11:C11"/>
    <mergeCell ref="B12:C12"/>
    <mergeCell ref="B13:C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6251C0A-7CAC-4F2D-BDF1-C5490B38EE91}">
          <x14:formula1>
            <xm:f>Apoio!$B$3:$B$12</xm:f>
          </x14:formula1>
          <xm:sqref>D12</xm:sqref>
        </x14:dataValidation>
        <x14:dataValidation type="list" allowBlank="1" showInputMessage="1" showErrorMessage="1" xr:uid="{EC69C7EB-A07A-4514-A18D-898911B57420}">
          <x14:formula1>
            <xm:f>Apoio!$F$3:$F$5</xm:f>
          </x14:formula1>
          <xm:sqref>D33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77A2-A13D-4A9A-BAEF-9C5D1081C44A}">
  <dimension ref="B2:L20"/>
  <sheetViews>
    <sheetView workbookViewId="0">
      <selection activeCell="G5" sqref="G5"/>
    </sheetView>
  </sheetViews>
  <sheetFormatPr defaultRowHeight="14.4" x14ac:dyDescent="0.3"/>
  <cols>
    <col min="2" max="2" width="27.21875" bestFit="1" customWidth="1"/>
    <col min="4" max="4" width="20.109375" bestFit="1" customWidth="1"/>
    <col min="5" max="5" width="20.109375" customWidth="1"/>
    <col min="6" max="6" width="11.21875" bestFit="1" customWidth="1"/>
    <col min="7" max="7" width="11.21875" customWidth="1"/>
    <col min="9" max="9" width="31.33203125" bestFit="1" customWidth="1"/>
    <col min="10" max="10" width="11.21875" bestFit="1" customWidth="1"/>
    <col min="11" max="11" width="20.109375" bestFit="1" customWidth="1"/>
  </cols>
  <sheetData>
    <row r="2" spans="2:12" x14ac:dyDescent="0.3">
      <c r="B2" t="s">
        <v>17</v>
      </c>
      <c r="D2" t="s">
        <v>18</v>
      </c>
      <c r="F2" t="s">
        <v>25</v>
      </c>
      <c r="G2" t="s">
        <v>33</v>
      </c>
      <c r="I2" t="s">
        <v>29</v>
      </c>
      <c r="J2" t="s">
        <v>30</v>
      </c>
      <c r="K2" t="s">
        <v>31</v>
      </c>
      <c r="L2" t="s">
        <v>32</v>
      </c>
    </row>
    <row r="3" spans="2:12" x14ac:dyDescent="0.3">
      <c r="B3" s="1">
        <v>0.1</v>
      </c>
      <c r="D3" t="s">
        <v>19</v>
      </c>
      <c r="F3" t="s">
        <v>26</v>
      </c>
      <c r="G3" s="1">
        <f ca="1">SUMIF($J$3:$L$20,$F$3,$L$3:$L$20)</f>
        <v>1</v>
      </c>
      <c r="I3" t="str">
        <f>$F$3&amp;"-"&amp;$D3</f>
        <v>Conservador-Tijolo</v>
      </c>
      <c r="J3" t="s">
        <v>26</v>
      </c>
      <c r="K3" t="s">
        <v>19</v>
      </c>
      <c r="L3" s="1">
        <v>0.5</v>
      </c>
    </row>
    <row r="4" spans="2:12" x14ac:dyDescent="0.3">
      <c r="B4" s="1">
        <v>0.2</v>
      </c>
      <c r="D4" t="s">
        <v>20</v>
      </c>
      <c r="F4" t="s">
        <v>27</v>
      </c>
      <c r="G4" s="1">
        <f t="shared" ref="G4:G5" ca="1" si="0">SUMIF($J$3:$L$20,$F$3,$L$3:$L$20)</f>
        <v>1</v>
      </c>
      <c r="I4" t="str">
        <f>$F$3&amp;"-"&amp;$D4</f>
        <v>Conservador-Papel</v>
      </c>
      <c r="J4" t="s">
        <v>26</v>
      </c>
      <c r="K4" t="s">
        <v>20</v>
      </c>
      <c r="L4" s="1">
        <v>0.3</v>
      </c>
    </row>
    <row r="5" spans="2:12" x14ac:dyDescent="0.3">
      <c r="B5" s="1">
        <v>0.3</v>
      </c>
      <c r="D5" t="s">
        <v>23</v>
      </c>
      <c r="F5" t="s">
        <v>28</v>
      </c>
      <c r="G5" s="1">
        <f t="shared" ca="1" si="0"/>
        <v>1</v>
      </c>
      <c r="I5" t="str">
        <f>$F$3&amp;"-"&amp;$D5</f>
        <v>Conservador-Fundos de Fundos (FoF)</v>
      </c>
      <c r="J5" t="s">
        <v>26</v>
      </c>
      <c r="K5" t="s">
        <v>23</v>
      </c>
      <c r="L5" s="1">
        <v>0</v>
      </c>
    </row>
    <row r="6" spans="2:12" x14ac:dyDescent="0.3">
      <c r="B6" s="1">
        <v>0.4</v>
      </c>
      <c r="D6" t="s">
        <v>21</v>
      </c>
      <c r="I6" t="str">
        <f>$F$3&amp;"-"&amp;$D6</f>
        <v>Conservador-Híbridos</v>
      </c>
      <c r="J6" t="s">
        <v>26</v>
      </c>
      <c r="K6" t="s">
        <v>21</v>
      </c>
      <c r="L6" s="1">
        <v>0.1</v>
      </c>
    </row>
    <row r="7" spans="2:12" x14ac:dyDescent="0.3">
      <c r="B7" s="1">
        <v>0.5</v>
      </c>
      <c r="D7" t="s">
        <v>24</v>
      </c>
      <c r="I7" t="str">
        <f>$F$3&amp;"-"&amp;$D7</f>
        <v>Conservador-Fiagros</v>
      </c>
      <c r="J7" t="s">
        <v>26</v>
      </c>
      <c r="K7" t="s">
        <v>24</v>
      </c>
      <c r="L7" s="1">
        <v>0.05</v>
      </c>
    </row>
    <row r="8" spans="2:12" x14ac:dyDescent="0.3">
      <c r="B8" s="1">
        <v>0.6</v>
      </c>
      <c r="D8" t="s">
        <v>22</v>
      </c>
      <c r="I8" t="str">
        <f>$F$3&amp;"-"&amp;$D8</f>
        <v>Conservador-Desenvolvimento</v>
      </c>
      <c r="J8" t="s">
        <v>26</v>
      </c>
      <c r="K8" t="s">
        <v>22</v>
      </c>
      <c r="L8" s="1">
        <v>0.05</v>
      </c>
    </row>
    <row r="9" spans="2:12" x14ac:dyDescent="0.3">
      <c r="B9" s="1">
        <v>0.7</v>
      </c>
      <c r="I9" t="str">
        <f>$F$4&amp;"-"&amp;$D3</f>
        <v>Moderado-Tijolo</v>
      </c>
      <c r="J9" t="s">
        <v>27</v>
      </c>
      <c r="K9" t="s">
        <v>19</v>
      </c>
      <c r="L9" s="1">
        <v>0.3</v>
      </c>
    </row>
    <row r="10" spans="2:12" x14ac:dyDescent="0.3">
      <c r="B10" s="1">
        <v>0.8</v>
      </c>
      <c r="I10" t="str">
        <f>$F$4&amp;"-"&amp;$D4</f>
        <v>Moderado-Papel</v>
      </c>
      <c r="J10" t="s">
        <v>27</v>
      </c>
      <c r="K10" t="s">
        <v>20</v>
      </c>
      <c r="L10" s="1">
        <v>0.3</v>
      </c>
    </row>
    <row r="11" spans="2:12" x14ac:dyDescent="0.3">
      <c r="B11" s="1">
        <v>0.9</v>
      </c>
      <c r="I11" t="str">
        <f>$F$4&amp;"-"&amp;$D5</f>
        <v>Moderado-Fundos de Fundos (FoF)</v>
      </c>
      <c r="J11" t="s">
        <v>27</v>
      </c>
      <c r="K11" t="s">
        <v>23</v>
      </c>
      <c r="L11" s="1">
        <v>0.2</v>
      </c>
    </row>
    <row r="12" spans="2:12" x14ac:dyDescent="0.3">
      <c r="B12" s="1">
        <v>1</v>
      </c>
      <c r="I12" t="str">
        <f>$F$4&amp;"-"&amp;$D6</f>
        <v>Moderado-Híbridos</v>
      </c>
      <c r="J12" t="s">
        <v>27</v>
      </c>
      <c r="K12" t="s">
        <v>21</v>
      </c>
      <c r="L12" s="1">
        <v>0.1</v>
      </c>
    </row>
    <row r="13" spans="2:12" x14ac:dyDescent="0.3">
      <c r="I13" t="str">
        <f>$F$4&amp;"-"&amp;$D7</f>
        <v>Moderado-Fiagros</v>
      </c>
      <c r="J13" t="s">
        <v>27</v>
      </c>
      <c r="K13" t="s">
        <v>24</v>
      </c>
      <c r="L13" s="1">
        <v>0.05</v>
      </c>
    </row>
    <row r="14" spans="2:12" x14ac:dyDescent="0.3">
      <c r="I14" t="str">
        <f>$F$4&amp;"-"&amp;$D8</f>
        <v>Moderado-Desenvolvimento</v>
      </c>
      <c r="J14" t="s">
        <v>27</v>
      </c>
      <c r="K14" t="s">
        <v>22</v>
      </c>
      <c r="L14" s="1">
        <v>0.05</v>
      </c>
    </row>
    <row r="15" spans="2:12" x14ac:dyDescent="0.3">
      <c r="I15" t="str">
        <f>$F$5&amp;"-"&amp;$D3</f>
        <v>Agressivo-Tijolo</v>
      </c>
      <c r="J15" t="s">
        <v>28</v>
      </c>
      <c r="K15" t="s">
        <v>19</v>
      </c>
      <c r="L15" s="1">
        <v>0.15</v>
      </c>
    </row>
    <row r="16" spans="2:12" x14ac:dyDescent="0.3">
      <c r="I16" t="str">
        <f t="shared" ref="I16:I20" si="1">$F$5&amp;"-"&amp;$D4</f>
        <v>Agressivo-Papel</v>
      </c>
      <c r="J16" t="s">
        <v>28</v>
      </c>
      <c r="K16" t="s">
        <v>20</v>
      </c>
      <c r="L16" s="1">
        <v>0.45</v>
      </c>
    </row>
    <row r="17" spans="9:12" x14ac:dyDescent="0.3">
      <c r="I17" t="str">
        <f t="shared" si="1"/>
        <v>Agressivo-Fundos de Fundos (FoF)</v>
      </c>
      <c r="J17" t="s">
        <v>28</v>
      </c>
      <c r="K17" t="s">
        <v>23</v>
      </c>
      <c r="L17" s="1">
        <v>0.15</v>
      </c>
    </row>
    <row r="18" spans="9:12" x14ac:dyDescent="0.3">
      <c r="I18" t="str">
        <f t="shared" si="1"/>
        <v>Agressivo-Híbridos</v>
      </c>
      <c r="J18" t="s">
        <v>28</v>
      </c>
      <c r="K18" t="s">
        <v>21</v>
      </c>
      <c r="L18" s="1">
        <v>0.1</v>
      </c>
    </row>
    <row r="19" spans="9:12" x14ac:dyDescent="0.3">
      <c r="I19" t="str">
        <f t="shared" si="1"/>
        <v>Agressivo-Fiagros</v>
      </c>
      <c r="J19" t="s">
        <v>28</v>
      </c>
      <c r="K19" t="s">
        <v>24</v>
      </c>
      <c r="L19" s="1">
        <v>0.05</v>
      </c>
    </row>
    <row r="20" spans="9:12" x14ac:dyDescent="0.3">
      <c r="I20" t="str">
        <f t="shared" si="1"/>
        <v>Agressivo-Desenvolvimento</v>
      </c>
      <c r="J20" t="s">
        <v>28</v>
      </c>
      <c r="K20" t="s">
        <v>22</v>
      </c>
      <c r="L20" s="1">
        <v>0.1</v>
      </c>
    </row>
  </sheetData>
  <sortState xmlns:xlrd2="http://schemas.microsoft.com/office/spreadsheetml/2017/richdata2" ref="I3:L8">
    <sortCondition ref="I3:I8"/>
  </sortState>
  <conditionalFormatting sqref="G3:G5">
    <cfRule type="cellIs" dxfId="1" priority="1" operator="equal">
      <formula>1</formula>
    </cfRule>
    <cfRule type="cellIs" dxfId="0" priority="2" operator="notEqual">
      <formula>1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Aplicativo</vt:lpstr>
      <vt:lpstr>Apoio</vt:lpstr>
      <vt:lpstr>Quantidade_de_Anos</vt:lpstr>
      <vt:lpstr>Rendimento_do_Portfólio</vt:lpstr>
      <vt:lpstr>Taxa_de_Rendimento_Mensal</vt:lpstr>
      <vt:lpstr>Taxa_mês</vt:lpstr>
      <vt:lpstr>tx_mês</vt:lpstr>
      <vt:lpstr>Valor_Acumulado</vt:lpstr>
      <vt:lpstr>Valor_Investido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Káh ♥</dc:creator>
  <cp:lastModifiedBy>Káh ♥</cp:lastModifiedBy>
  <dcterms:created xsi:type="dcterms:W3CDTF">2025-12-22T15:38:17Z</dcterms:created>
  <dcterms:modified xsi:type="dcterms:W3CDTF">2025-12-22T18:04:51Z</dcterms:modified>
</cp:coreProperties>
</file>